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al\PycharmProjects\BladeBeam\ExampleBeams\"/>
    </mc:Choice>
  </mc:AlternateContent>
  <xr:revisionPtr revIDLastSave="0" documentId="13_ncr:1_{B3653A0B-584A-40D6-927F-D4B880AC9402}" xr6:coauthVersionLast="47" xr6:coauthVersionMax="47" xr10:uidLastSave="{00000000-0000-0000-0000-000000000000}"/>
  <bookViews>
    <workbookView xWindow="-108" yWindow="-108" windowWidth="23256" windowHeight="13896" activeTab="1" xr2:uid="{4F823C6E-590F-40A7-A3A8-56FFED93E5D9}"/>
  </bookViews>
  <sheets>
    <sheet name="README" sheetId="3" r:id="rId1"/>
    <sheet name="Setup" sheetId="1" r:id="rId2"/>
    <sheet name="Elem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J3" i="2"/>
  <c r="J4" i="2"/>
  <c r="J5" i="2"/>
  <c r="J6" i="2"/>
  <c r="J7" i="2"/>
  <c r="J8" i="2"/>
  <c r="J9" i="2"/>
  <c r="J10" i="2"/>
  <c r="J11" i="2"/>
  <c r="J2" i="2"/>
  <c r="F3" i="2"/>
  <c r="F4" i="2"/>
  <c r="F5" i="2"/>
  <c r="F6" i="2"/>
  <c r="F7" i="2"/>
  <c r="F8" i="2"/>
  <c r="F9" i="2"/>
  <c r="F10" i="2"/>
  <c r="F11" i="2"/>
  <c r="F2" i="2"/>
  <c r="I3" i="2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<sst xmlns="http://schemas.openxmlformats.org/spreadsheetml/2006/main" count="25" uniqueCount="25">
  <si>
    <t>x</t>
  </si>
  <si>
    <t>Element</t>
  </si>
  <si>
    <t>Loadx</t>
  </si>
  <si>
    <t>Loady</t>
  </si>
  <si>
    <t>A</t>
  </si>
  <si>
    <t>E</t>
  </si>
  <si>
    <t>m</t>
  </si>
  <si>
    <t>FixityX</t>
  </si>
  <si>
    <t>FixityY</t>
  </si>
  <si>
    <t>FixityT</t>
  </si>
  <si>
    <t>LoadT</t>
  </si>
  <si>
    <t>G</t>
  </si>
  <si>
    <t>t</t>
  </si>
  <si>
    <t>J</t>
  </si>
  <si>
    <t>FixityZ</t>
  </si>
  <si>
    <t>FixityMY</t>
  </si>
  <si>
    <t>Loadz</t>
  </si>
  <si>
    <t>LoadMY</t>
  </si>
  <si>
    <t>Stations</t>
  </si>
  <si>
    <t>w_z</t>
  </si>
  <si>
    <t>w_y</t>
  </si>
  <si>
    <t>I_yy</t>
  </si>
  <si>
    <t>I_zz</t>
  </si>
  <si>
    <t>FixityMZ</t>
  </si>
  <si>
    <t>LoadMZ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</si>
</sst>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438150</xdr:colOff>
      <xdr:row>26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C3891F-117A-430B-BA9F-A8882D4E2287}"/>
            </a:ext>
          </a:extLst>
        </xdr:cNvPr>
        <xdr:cNvSpPr/>
      </xdr:nvSpPr>
      <xdr:spPr>
        <a:xfrm>
          <a:off x="609600" y="182880"/>
          <a:ext cx="4095750" cy="464820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Setup</a:t>
          </a:r>
          <a:r>
            <a:rPr lang="en-US" sz="1100" kern="1200" baseline="0"/>
            <a:t> tab of spreadsheet: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The program supports Imperial (inches, lb-force, lb-mass) and Metric (meter, Newton, kg)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1.   Define the stations that your elements are at. If your beam has n elements, there should be n+1 elements defined.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2.   Define your boundary conditions or applied loads. Add a new row for each boundary condition or applied load by specifying the x coordinate (along the length of the beam) where the load of BC occurs. The algorithm will automatically assign the loads or fixity at the station closest to the specified x coordinate.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2a. When specifying boundary conditions, specify fixity in each direction with a 1 (fully fixed) or a 0 (free). If using the semi-rigid support, the value for Fixity is treated as the stiffness of a rotational spring or elastic support.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2b. When specifying applied point loads, make boundary condition support values 0, unless a boundary condition is intended. Specify the applied load in the x direction, y direction, z direction, moment, or torsion in the applicable column. Additionally, if a support is created with no applied loads, ensure all the loads are specified as zeros.</a:t>
          </a:r>
        </a:p>
        <a:p>
          <a:pPr algn="l"/>
          <a:endParaRPr lang="en-US" sz="1100" kern="1200" baseline="0"/>
        </a:p>
        <a:p>
          <a:pPr algn="l"/>
          <a:endParaRPr lang="en-US" sz="1100" kern="1200"/>
        </a:p>
      </xdr:txBody>
    </xdr:sp>
    <xdr:clientData/>
  </xdr:twoCellAnchor>
  <xdr:twoCellAnchor editAs="oneCell">
    <xdr:from>
      <xdr:col>3</xdr:col>
      <xdr:colOff>495300</xdr:colOff>
      <xdr:row>1</xdr:row>
      <xdr:rowOff>0</xdr:rowOff>
    </xdr:from>
    <xdr:to>
      <xdr:col>7</xdr:col>
      <xdr:colOff>267008</xdr:colOff>
      <xdr:row>2</xdr:row>
      <xdr:rowOff>163881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2954C3-6CEA-40AE-99AD-3CD99006E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182880"/>
          <a:ext cx="2210108" cy="346761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85725</xdr:rowOff>
    </xdr:from>
    <xdr:to>
      <xdr:col>7</xdr:col>
      <xdr:colOff>447675</xdr:colOff>
      <xdr:row>45</xdr:row>
      <xdr:rowOff>173355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E26AD253-2979-43D0-9187-6F256347CD02}"/>
            </a:ext>
          </a:extLst>
        </xdr:cNvPr>
        <xdr:cNvGrpSpPr/>
      </xdr:nvGrpSpPr>
      <xdr:grpSpPr>
        <a:xfrm>
          <a:off x="619125" y="5023485"/>
          <a:ext cx="4095750" cy="3379470"/>
          <a:chOff x="76200" y="4238625"/>
          <a:chExt cx="4095750" cy="2762250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9F5564DD-FB7E-DAF1-883A-B578ACF69F4A}"/>
              </a:ext>
            </a:extLst>
          </xdr:cNvPr>
          <xdr:cNvSpPr/>
        </xdr:nvSpPr>
        <xdr:spPr>
          <a:xfrm>
            <a:off x="76200" y="4238625"/>
            <a:ext cx="4095750" cy="2762250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kern="1200"/>
              <a:t>Elements</a:t>
            </a:r>
            <a:r>
              <a:rPr lang="en-US" sz="1100" kern="1200" baseline="0"/>
              <a:t> tab of spreadsheet: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Specify each element as a row.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w = distributed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t = distributed torsional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A = area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I = moment of inertia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J = polar moment of inertia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E = modulus of elasticity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G = shear modulus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m = mass per unit length of element</a:t>
            </a:r>
          </a:p>
        </xdr:txBody>
      </xdr: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9FCD875C-5073-C639-E98F-AFE4C9B325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00" y="4257675"/>
            <a:ext cx="2210108" cy="362001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34290</xdr:colOff>
      <xdr:row>1</xdr:row>
      <xdr:rowOff>5714</xdr:rowOff>
    </xdr:from>
    <xdr:to>
      <xdr:col>14</xdr:col>
      <xdr:colOff>472440</xdr:colOff>
      <xdr:row>29</xdr:row>
      <xdr:rowOff>72389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4D48E5B-EE84-4785-990A-36DBC219DD1E}"/>
            </a:ext>
          </a:extLst>
        </xdr:cNvPr>
        <xdr:cNvSpPr/>
      </xdr:nvSpPr>
      <xdr:spPr>
        <a:xfrm>
          <a:off x="4911090" y="188594"/>
          <a:ext cx="4095750" cy="5187315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 kern="1200" baseline="0"/>
            <a:t>Notes: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Semi-rigid connections are not yet supported for calculating the natural frequency of a structure. Instead, the conservative result assuming no moment fixity is exported. Use these results with caution; it is recommended to use the standard pinned/fixed supports methodology for calculating natural frequency.</a:t>
          </a:r>
        </a:p>
        <a:p>
          <a:pPr algn="l"/>
          <a:endParaRPr lang="en-US" sz="1100" kern="12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running in Python and using a NuMAD input, ensure Abdbeam library is installed through either pip or github: https://github.com/victorazzo/abdbeam</a:t>
          </a:r>
          <a:endParaRPr lang="en-US">
            <a:effectLst/>
          </a:endParaRPr>
        </a:p>
        <a:p>
          <a:pPr algn="l"/>
          <a:endParaRPr lang="en-US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38A2-F1FE-4696-AE64-2FDC65741C85}">
  <dimension ref="A1"/>
  <sheetViews>
    <sheetView workbookViewId="0">
      <selection activeCell="P10" sqref="P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0EA4-A88F-41D8-8776-76F156D0E210}">
  <dimension ref="A1:O12"/>
  <sheetViews>
    <sheetView tabSelected="1" workbookViewId="0">
      <selection activeCell="I13" sqref="I13"/>
    </sheetView>
  </sheetViews>
  <sheetFormatPr defaultRowHeight="14.4" x14ac:dyDescent="0.3"/>
  <cols>
    <col min="1" max="1" width="15.44140625" bestFit="1" customWidth="1"/>
    <col min="3" max="3" width="9" customWidth="1"/>
    <col min="7" max="7" width="10" bestFit="1" customWidth="1"/>
    <col min="8" max="8" width="10" customWidth="1"/>
  </cols>
  <sheetData>
    <row r="1" spans="1:15" x14ac:dyDescent="0.3">
      <c r="A1" t="s">
        <v>18</v>
      </c>
      <c r="C1" t="s">
        <v>0</v>
      </c>
      <c r="D1" t="s">
        <v>7</v>
      </c>
      <c r="E1" t="s">
        <v>14</v>
      </c>
      <c r="F1" t="s">
        <v>8</v>
      </c>
      <c r="G1" t="s">
        <v>23</v>
      </c>
      <c r="H1" t="s">
        <v>15</v>
      </c>
      <c r="I1" t="s">
        <v>9</v>
      </c>
      <c r="J1" t="s">
        <v>2</v>
      </c>
      <c r="K1" t="s">
        <v>16</v>
      </c>
      <c r="L1" t="s">
        <v>3</v>
      </c>
      <c r="M1" t="s">
        <v>24</v>
      </c>
      <c r="N1" t="s">
        <v>17</v>
      </c>
      <c r="O1" t="s">
        <v>10</v>
      </c>
    </row>
    <row r="2" spans="1:15" x14ac:dyDescent="0.3">
      <c r="A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0.4</v>
      </c>
      <c r="C3">
        <v>4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0.8</v>
      </c>
    </row>
    <row r="5" spans="1:15" x14ac:dyDescent="0.3">
      <c r="A5">
        <v>1.2</v>
      </c>
    </row>
    <row r="6" spans="1:15" x14ac:dyDescent="0.3">
      <c r="A6">
        <v>1.6</v>
      </c>
    </row>
    <row r="7" spans="1:15" x14ac:dyDescent="0.3">
      <c r="A7">
        <v>2</v>
      </c>
    </row>
    <row r="8" spans="1:15" x14ac:dyDescent="0.3">
      <c r="A8">
        <v>2.4</v>
      </c>
    </row>
    <row r="9" spans="1:15" x14ac:dyDescent="0.3">
      <c r="A9">
        <v>2.8</v>
      </c>
    </row>
    <row r="10" spans="1:15" x14ac:dyDescent="0.3">
      <c r="A10">
        <v>3.2</v>
      </c>
    </row>
    <row r="11" spans="1:15" x14ac:dyDescent="0.3">
      <c r="A11">
        <v>3.6</v>
      </c>
    </row>
    <row r="12" spans="1:15" x14ac:dyDescent="0.3">
      <c r="A12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43FF-DBCB-49F0-BB00-28C20524D9C4}">
  <dimension ref="A1:K11"/>
  <sheetViews>
    <sheetView workbookViewId="0">
      <selection activeCell="G16" sqref="G16"/>
    </sheetView>
  </sheetViews>
  <sheetFormatPr defaultRowHeight="14.4" x14ac:dyDescent="0.3"/>
  <sheetData>
    <row r="1" spans="1:11" x14ac:dyDescent="0.3">
      <c r="A1" t="s">
        <v>1</v>
      </c>
      <c r="B1" t="s">
        <v>19</v>
      </c>
      <c r="C1" t="s">
        <v>20</v>
      </c>
      <c r="D1" t="s">
        <v>12</v>
      </c>
      <c r="E1" t="s">
        <v>4</v>
      </c>
      <c r="F1" t="s">
        <v>21</v>
      </c>
      <c r="G1" t="s">
        <v>22</v>
      </c>
      <c r="H1" t="s">
        <v>13</v>
      </c>
      <c r="I1" t="s">
        <v>5</v>
      </c>
      <c r="J1" t="s">
        <v>11</v>
      </c>
      <c r="K1" t="s">
        <v>6</v>
      </c>
    </row>
    <row r="2" spans="1:11" x14ac:dyDescent="0.3">
      <c r="A2">
        <v>0</v>
      </c>
      <c r="B2">
        <v>-1000</v>
      </c>
      <c r="C2">
        <v>0</v>
      </c>
      <c r="E2">
        <v>0.03</v>
      </c>
      <c r="F2">
        <f>2.25*10^(-4)</f>
        <v>2.2500000000000002E-4</v>
      </c>
      <c r="G2">
        <f>0.3*0.1^3/12</f>
        <v>2.5000000000000008E-5</v>
      </c>
      <c r="H2">
        <v>10</v>
      </c>
      <c r="I2">
        <f>200*10^9</f>
        <v>200000000000</v>
      </c>
      <c r="J2">
        <f>10^5</f>
        <v>100000</v>
      </c>
      <c r="K2">
        <v>100</v>
      </c>
    </row>
    <row r="3" spans="1:11" x14ac:dyDescent="0.3">
      <c r="A3">
        <v>1</v>
      </c>
      <c r="B3">
        <v>-1000</v>
      </c>
      <c r="C3">
        <v>0</v>
      </c>
      <c r="E3">
        <v>0.03</v>
      </c>
      <c r="F3">
        <f t="shared" ref="F3:F11" si="0">2.25*10^(-4)</f>
        <v>2.2500000000000002E-4</v>
      </c>
      <c r="G3">
        <f t="shared" ref="G3:G11" si="1">0.3*0.1^3/12</f>
        <v>2.5000000000000008E-5</v>
      </c>
      <c r="H3">
        <v>10</v>
      </c>
      <c r="I3">
        <f t="shared" ref="I3:I11" si="2">200*10^9</f>
        <v>200000000000</v>
      </c>
      <c r="J3">
        <f t="shared" ref="J3:J11" si="3">10^5</f>
        <v>100000</v>
      </c>
      <c r="K3">
        <v>100</v>
      </c>
    </row>
    <row r="4" spans="1:11" x14ac:dyDescent="0.3">
      <c r="A4">
        <v>2</v>
      </c>
      <c r="B4">
        <v>-1000</v>
      </c>
      <c r="C4">
        <v>0</v>
      </c>
      <c r="E4">
        <v>0.03</v>
      </c>
      <c r="F4">
        <f t="shared" si="0"/>
        <v>2.2500000000000002E-4</v>
      </c>
      <c r="G4">
        <f t="shared" si="1"/>
        <v>2.5000000000000008E-5</v>
      </c>
      <c r="H4">
        <v>10</v>
      </c>
      <c r="I4">
        <f t="shared" si="2"/>
        <v>200000000000</v>
      </c>
      <c r="J4">
        <f t="shared" si="3"/>
        <v>100000</v>
      </c>
      <c r="K4">
        <v>100</v>
      </c>
    </row>
    <row r="5" spans="1:11" x14ac:dyDescent="0.3">
      <c r="A5">
        <v>3</v>
      </c>
      <c r="B5">
        <v>-1000</v>
      </c>
      <c r="C5">
        <v>0</v>
      </c>
      <c r="E5">
        <v>0.03</v>
      </c>
      <c r="F5">
        <f t="shared" si="0"/>
        <v>2.2500000000000002E-4</v>
      </c>
      <c r="G5">
        <f t="shared" si="1"/>
        <v>2.5000000000000008E-5</v>
      </c>
      <c r="H5">
        <v>10</v>
      </c>
      <c r="I5">
        <f t="shared" si="2"/>
        <v>200000000000</v>
      </c>
      <c r="J5">
        <f t="shared" si="3"/>
        <v>100000</v>
      </c>
      <c r="K5">
        <v>100</v>
      </c>
    </row>
    <row r="6" spans="1:11" x14ac:dyDescent="0.3">
      <c r="A6">
        <v>4</v>
      </c>
      <c r="B6">
        <v>-1000</v>
      </c>
      <c r="C6">
        <v>0</v>
      </c>
      <c r="E6">
        <v>0.03</v>
      </c>
      <c r="F6">
        <f t="shared" si="0"/>
        <v>2.2500000000000002E-4</v>
      </c>
      <c r="G6">
        <f t="shared" si="1"/>
        <v>2.5000000000000008E-5</v>
      </c>
      <c r="H6">
        <v>10</v>
      </c>
      <c r="I6">
        <f t="shared" si="2"/>
        <v>200000000000</v>
      </c>
      <c r="J6">
        <f t="shared" si="3"/>
        <v>100000</v>
      </c>
      <c r="K6">
        <v>100</v>
      </c>
    </row>
    <row r="7" spans="1:11" x14ac:dyDescent="0.3">
      <c r="A7">
        <v>5</v>
      </c>
      <c r="B7">
        <v>-1000</v>
      </c>
      <c r="C7">
        <v>0</v>
      </c>
      <c r="E7">
        <v>0.03</v>
      </c>
      <c r="F7">
        <f t="shared" si="0"/>
        <v>2.2500000000000002E-4</v>
      </c>
      <c r="G7">
        <f t="shared" si="1"/>
        <v>2.5000000000000008E-5</v>
      </c>
      <c r="H7">
        <v>10</v>
      </c>
      <c r="I7">
        <f t="shared" si="2"/>
        <v>200000000000</v>
      </c>
      <c r="J7">
        <f t="shared" si="3"/>
        <v>100000</v>
      </c>
      <c r="K7">
        <v>100</v>
      </c>
    </row>
    <row r="8" spans="1:11" x14ac:dyDescent="0.3">
      <c r="A8">
        <v>6</v>
      </c>
      <c r="B8">
        <v>-1000</v>
      </c>
      <c r="C8">
        <v>0</v>
      </c>
      <c r="E8">
        <v>0.03</v>
      </c>
      <c r="F8">
        <f t="shared" si="0"/>
        <v>2.2500000000000002E-4</v>
      </c>
      <c r="G8">
        <f t="shared" si="1"/>
        <v>2.5000000000000008E-5</v>
      </c>
      <c r="H8">
        <v>10</v>
      </c>
      <c r="I8">
        <f t="shared" si="2"/>
        <v>200000000000</v>
      </c>
      <c r="J8">
        <f t="shared" si="3"/>
        <v>100000</v>
      </c>
      <c r="K8">
        <v>100</v>
      </c>
    </row>
    <row r="9" spans="1:11" x14ac:dyDescent="0.3">
      <c r="A9">
        <v>7</v>
      </c>
      <c r="B9">
        <v>-1000</v>
      </c>
      <c r="C9">
        <v>0</v>
      </c>
      <c r="E9">
        <v>0.03</v>
      </c>
      <c r="F9">
        <f t="shared" si="0"/>
        <v>2.2500000000000002E-4</v>
      </c>
      <c r="G9">
        <f t="shared" si="1"/>
        <v>2.5000000000000008E-5</v>
      </c>
      <c r="H9">
        <v>10</v>
      </c>
      <c r="I9">
        <f t="shared" si="2"/>
        <v>200000000000</v>
      </c>
      <c r="J9">
        <f t="shared" si="3"/>
        <v>100000</v>
      </c>
      <c r="K9">
        <v>100</v>
      </c>
    </row>
    <row r="10" spans="1:11" x14ac:dyDescent="0.3">
      <c r="A10">
        <v>8</v>
      </c>
      <c r="B10">
        <v>-1000</v>
      </c>
      <c r="C10">
        <v>0</v>
      </c>
      <c r="E10">
        <v>0.03</v>
      </c>
      <c r="F10">
        <f t="shared" si="0"/>
        <v>2.2500000000000002E-4</v>
      </c>
      <c r="G10">
        <f t="shared" si="1"/>
        <v>2.5000000000000008E-5</v>
      </c>
      <c r="H10">
        <v>10</v>
      </c>
      <c r="I10">
        <f t="shared" si="2"/>
        <v>200000000000</v>
      </c>
      <c r="J10">
        <f t="shared" si="3"/>
        <v>100000</v>
      </c>
      <c r="K10">
        <v>100</v>
      </c>
    </row>
    <row r="11" spans="1:11" x14ac:dyDescent="0.3">
      <c r="A11">
        <v>9</v>
      </c>
      <c r="B11">
        <v>-1000</v>
      </c>
      <c r="C11">
        <v>0</v>
      </c>
      <c r="E11">
        <v>0.03</v>
      </c>
      <c r="F11">
        <f t="shared" si="0"/>
        <v>2.2500000000000002E-4</v>
      </c>
      <c r="G11">
        <f t="shared" si="1"/>
        <v>2.5000000000000008E-5</v>
      </c>
      <c r="H11">
        <v>10</v>
      </c>
      <c r="I11">
        <f t="shared" si="2"/>
        <v>200000000000</v>
      </c>
      <c r="J11">
        <f t="shared" si="3"/>
        <v>100000</v>
      </c>
      <c r="K11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Setup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Ackall</dc:creator>
  <cp:lastModifiedBy>Ackall, Gabriel</cp:lastModifiedBy>
  <dcterms:created xsi:type="dcterms:W3CDTF">2023-05-17T21:35:15Z</dcterms:created>
  <dcterms:modified xsi:type="dcterms:W3CDTF">2025-11-29T04:01:27Z</dcterms:modified>
</cp:coreProperties>
</file>